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tocoraa/Documents/Camponotus_Galapagos/Text/Tables/"/>
    </mc:Choice>
  </mc:AlternateContent>
  <xr:revisionPtr revIDLastSave="0" documentId="13_ncr:1_{79DB72D1-C215-F445-834D-23838947F5C5}" xr6:coauthVersionLast="47" xr6:coauthVersionMax="47" xr10:uidLastSave="{00000000-0000-0000-0000-000000000000}"/>
  <bookViews>
    <workbookView xWindow="0" yWindow="760" windowWidth="30240" windowHeight="17540" xr2:uid="{63860C50-498B-2F46-81E9-C796C02419EB}"/>
  </bookViews>
  <sheets>
    <sheet name="Summary - filters" sheetId="3" r:id="rId1"/>
    <sheet name="Thinning - Admix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2" l="1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B30" i="2"/>
</calcChain>
</file>

<file path=xl/sharedStrings.xml><?xml version="1.0" encoding="utf-8"?>
<sst xmlns="http://schemas.openxmlformats.org/spreadsheetml/2006/main" count="107" uniqueCount="56">
  <si>
    <t>Scaffolds</t>
  </si>
  <si>
    <t>ScK9JVf_10_HRSCAF_42</t>
  </si>
  <si>
    <t>ScK9JVf_15_HRSCAF_55</t>
  </si>
  <si>
    <t>ScK9JVf_1_HRSCAF_1</t>
  </si>
  <si>
    <t>ScK9JVf_26_HRSCAF_83</t>
  </si>
  <si>
    <t>ScK9JVf_36_HRSCAF_112</t>
  </si>
  <si>
    <t>ScK9JVf_5_HRSCAF_14</t>
  </si>
  <si>
    <t>ScK9JVf_8_HRSCAF_35</t>
  </si>
  <si>
    <t>ScK9JVf_11_HRSCAF_46</t>
  </si>
  <si>
    <t>ScK9JVf_16_HRSCAF_60</t>
  </si>
  <si>
    <t>ScK9JVf_21_HRSCAF_68</t>
  </si>
  <si>
    <t>ScK9JVf_27_HRSCAF_84</t>
  </si>
  <si>
    <t>ScK9JVf_38_HRSCAF_115</t>
  </si>
  <si>
    <t>ScK9JVf_6_HRSCAF_21</t>
  </si>
  <si>
    <t>ScK9JVf_9_HRSCAF_39</t>
  </si>
  <si>
    <t>ScK9JVf_12_HRSCAF_48</t>
  </si>
  <si>
    <t>ScK9JVf_18_HRSCAF_64</t>
  </si>
  <si>
    <t>ScK9JVf_24_HRSCAF_80</t>
  </si>
  <si>
    <t>ScK9JVf_2_HRSCAF_3</t>
  </si>
  <si>
    <t>ScK9JVf_3_HRSCAF_5</t>
  </si>
  <si>
    <t>ScK9JVf_78_HRSCAF_165</t>
  </si>
  <si>
    <t>ScK9JVf_13_HRSCAF_50</t>
  </si>
  <si>
    <t>ScK9JVf_19_HRSCAF_66</t>
  </si>
  <si>
    <t>ScK9JVf_25_HRSCAF_81</t>
  </si>
  <si>
    <t>ScK9JVf_35_HRSCAF_110</t>
  </si>
  <si>
    <t>ScK9JVf_4_HRSCAF_13</t>
  </si>
  <si>
    <t>ScK9JVf_7_HRSCAF_26</t>
  </si>
  <si>
    <t>20kbp_thin</t>
  </si>
  <si>
    <t>50kbp_thin</t>
  </si>
  <si>
    <t>Filtered 1</t>
  </si>
  <si>
    <t>Filtered 2</t>
  </si>
  <si>
    <t>Total Sites</t>
  </si>
  <si>
    <t>No thin</t>
  </si>
  <si>
    <t>Analysis</t>
  </si>
  <si>
    <t>Host/Bacteria</t>
  </si>
  <si>
    <t>max-missing</t>
  </si>
  <si>
    <t>minGQ</t>
  </si>
  <si>
    <t>max-alleles</t>
  </si>
  <si>
    <t>max-maf</t>
  </si>
  <si>
    <t>remove-indels</t>
  </si>
  <si>
    <t>recode</t>
  </si>
  <si>
    <t>recode-INFO-all</t>
  </si>
  <si>
    <t>Admixture</t>
  </si>
  <si>
    <t>Host</t>
  </si>
  <si>
    <t>Phylogeny</t>
  </si>
  <si>
    <t>Bacteria</t>
  </si>
  <si>
    <t>Relatedness</t>
  </si>
  <si>
    <t>Heterozygosity</t>
  </si>
  <si>
    <t>EEMS</t>
  </si>
  <si>
    <t>min-alleles</t>
  </si>
  <si>
    <t>thin</t>
  </si>
  <si>
    <t>yes</t>
  </si>
  <si>
    <t>mac</t>
  </si>
  <si>
    <t>na</t>
  </si>
  <si>
    <t>no/20000</t>
  </si>
  <si>
    <t>EEMS / IBD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</si>
</sst>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0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0F1FA"/>
        <bgColor indexed="64"/>
      </patternFill>
    </fill>
    <fill>
      <patternFill patternType="solid">
        <fgColor rgb="FFDBF1E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FF7FA"/>
        <bgColor indexed="64"/>
      </patternFill>
    </fill>
    <fill>
      <patternFill patternType="solid">
        <fgColor rgb="FFF4F5D9"/>
        <bgColor indexed="64"/>
      </patternFill>
    </fill>
    <fill>
      <patternFill patternType="solid">
        <fgColor rgb="FFF6F2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F2DE"/>
      <color rgb="FFF4F5D9"/>
      <color rgb="FFDBF1E7"/>
      <color rgb="FFEFF7FA"/>
      <color rgb="FFF0F1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10752-38EA-0144-B822-DEC58373EC8F}">
  <dimension ref="A1:L9"/>
  <sheetViews>
    <sheetView tabSelected="1" zoomScale="104" workbookViewId="0">
      <selection activeCell="F14" sqref="F14"/>
    </sheetView>
  </sheetViews>
  <sheetFormatPr baseColWidth="10" defaultRowHeight="16" x14ac:dyDescent="0.2"/>
  <cols>
    <col min="1" max="1" width="17" customWidth="1"/>
    <col min="2" max="2" width="14.83203125" customWidth="1"/>
    <col min="3" max="3" width="13.1640625" customWidth="1"/>
    <col min="4" max="4" width="8.1640625" customWidth="1"/>
    <col min="7" max="7" width="6.1640625" customWidth="1"/>
    <col min="9" max="9" width="15" customWidth="1"/>
    <col min="10" max="10" width="7.5" customWidth="1"/>
    <col min="11" max="11" width="17" customWidth="1"/>
    <col min="12" max="12" width="9.5" customWidth="1"/>
  </cols>
  <sheetData>
    <row r="1" spans="1:12" x14ac:dyDescent="0.2">
      <c r="A1" s="17" t="s">
        <v>33</v>
      </c>
      <c r="B1" s="17" t="s">
        <v>34</v>
      </c>
      <c r="C1" s="17" t="s">
        <v>35</v>
      </c>
      <c r="D1" s="17" t="s">
        <v>36</v>
      </c>
      <c r="E1" s="17" t="s">
        <v>49</v>
      </c>
      <c r="F1" s="17" t="s">
        <v>37</v>
      </c>
      <c r="G1" s="17" t="s">
        <v>52</v>
      </c>
      <c r="H1" s="17" t="s">
        <v>38</v>
      </c>
      <c r="I1" s="17" t="s">
        <v>39</v>
      </c>
      <c r="J1" s="17" t="s">
        <v>40</v>
      </c>
      <c r="K1" s="17" t="s">
        <v>41</v>
      </c>
      <c r="L1" s="17" t="s">
        <v>50</v>
      </c>
    </row>
    <row r="2" spans="1:12" x14ac:dyDescent="0.2">
      <c r="A2" s="12" t="s">
        <v>42</v>
      </c>
      <c r="B2" s="13" t="s">
        <v>43</v>
      </c>
      <c r="C2" s="13">
        <v>0.9</v>
      </c>
      <c r="D2" s="13" t="s">
        <v>53</v>
      </c>
      <c r="E2" s="13">
        <v>2</v>
      </c>
      <c r="F2" s="13">
        <v>2</v>
      </c>
      <c r="G2" s="13">
        <v>2</v>
      </c>
      <c r="H2" s="13">
        <v>0.49</v>
      </c>
      <c r="I2" s="13" t="s">
        <v>51</v>
      </c>
      <c r="J2" s="13" t="s">
        <v>51</v>
      </c>
      <c r="K2" s="13" t="s">
        <v>51</v>
      </c>
      <c r="L2" s="13" t="s">
        <v>54</v>
      </c>
    </row>
    <row r="3" spans="1:12" x14ac:dyDescent="0.2">
      <c r="A3" s="12" t="s">
        <v>46</v>
      </c>
      <c r="B3" s="13" t="s">
        <v>43</v>
      </c>
      <c r="C3" s="13">
        <v>0.9</v>
      </c>
      <c r="D3" s="13" t="s">
        <v>53</v>
      </c>
      <c r="E3" s="13">
        <v>2</v>
      </c>
      <c r="F3" s="13">
        <v>2</v>
      </c>
      <c r="G3" s="13">
        <v>1</v>
      </c>
      <c r="H3" s="13">
        <v>0.49</v>
      </c>
      <c r="I3" s="13" t="s">
        <v>53</v>
      </c>
      <c r="J3" s="13" t="s">
        <v>51</v>
      </c>
      <c r="K3" s="13" t="s">
        <v>51</v>
      </c>
      <c r="L3" s="14">
        <v>50000</v>
      </c>
    </row>
    <row r="4" spans="1:12" x14ac:dyDescent="0.2">
      <c r="A4" s="12" t="s">
        <v>44</v>
      </c>
      <c r="B4" s="13" t="s">
        <v>43</v>
      </c>
      <c r="C4" s="13">
        <v>0.8</v>
      </c>
      <c r="D4" s="13">
        <v>20</v>
      </c>
      <c r="E4" s="13" t="s">
        <v>53</v>
      </c>
      <c r="F4" s="13">
        <v>2</v>
      </c>
      <c r="G4" s="13" t="s">
        <v>53</v>
      </c>
      <c r="H4" s="13">
        <v>0.49</v>
      </c>
      <c r="I4" s="13" t="s">
        <v>51</v>
      </c>
      <c r="J4" s="13" t="s">
        <v>51</v>
      </c>
      <c r="K4" s="13" t="s">
        <v>51</v>
      </c>
      <c r="L4" s="13" t="s">
        <v>53</v>
      </c>
    </row>
    <row r="5" spans="1:12" x14ac:dyDescent="0.2">
      <c r="A5" s="12" t="s">
        <v>47</v>
      </c>
      <c r="B5" s="13" t="s">
        <v>43</v>
      </c>
      <c r="C5" s="13">
        <v>0.8</v>
      </c>
      <c r="D5" s="13">
        <v>20</v>
      </c>
      <c r="E5" s="13" t="s">
        <v>53</v>
      </c>
      <c r="F5" s="13">
        <v>2</v>
      </c>
      <c r="G5" s="13" t="s">
        <v>53</v>
      </c>
      <c r="H5" s="13">
        <v>0.49</v>
      </c>
      <c r="I5" s="13" t="s">
        <v>51</v>
      </c>
      <c r="J5" s="13" t="s">
        <v>51</v>
      </c>
      <c r="K5" s="13" t="s">
        <v>51</v>
      </c>
      <c r="L5" s="13" t="s">
        <v>53</v>
      </c>
    </row>
    <row r="6" spans="1:12" x14ac:dyDescent="0.2">
      <c r="A6" s="12" t="s">
        <v>55</v>
      </c>
      <c r="B6" s="13" t="s">
        <v>43</v>
      </c>
      <c r="C6" s="13">
        <v>0.8</v>
      </c>
      <c r="D6" s="13" t="s">
        <v>53</v>
      </c>
      <c r="E6" s="13">
        <v>2</v>
      </c>
      <c r="F6" s="13">
        <v>2</v>
      </c>
      <c r="G6" s="13">
        <v>2</v>
      </c>
      <c r="H6" s="13">
        <v>0.49</v>
      </c>
      <c r="I6" s="13" t="s">
        <v>53</v>
      </c>
      <c r="J6" s="13" t="s">
        <v>51</v>
      </c>
      <c r="K6" s="13" t="s">
        <v>51</v>
      </c>
      <c r="L6" s="13" t="s">
        <v>53</v>
      </c>
    </row>
    <row r="7" spans="1:12" x14ac:dyDescent="0.2">
      <c r="A7" s="15" t="s">
        <v>42</v>
      </c>
      <c r="B7" s="16" t="s">
        <v>45</v>
      </c>
      <c r="C7" s="16">
        <v>0.8</v>
      </c>
      <c r="D7" s="16" t="s">
        <v>53</v>
      </c>
      <c r="E7" s="16">
        <v>2</v>
      </c>
      <c r="F7" s="16">
        <v>2</v>
      </c>
      <c r="G7" s="16" t="s">
        <v>53</v>
      </c>
      <c r="H7" s="16">
        <v>0.49</v>
      </c>
      <c r="I7" s="16" t="s">
        <v>53</v>
      </c>
      <c r="J7" s="16" t="s">
        <v>51</v>
      </c>
      <c r="K7" s="16" t="s">
        <v>51</v>
      </c>
      <c r="L7" s="13" t="s">
        <v>53</v>
      </c>
    </row>
    <row r="8" spans="1:12" x14ac:dyDescent="0.2">
      <c r="A8" s="15" t="s">
        <v>44</v>
      </c>
      <c r="B8" s="16" t="s">
        <v>45</v>
      </c>
      <c r="C8" s="16">
        <v>0.8</v>
      </c>
      <c r="D8" s="16">
        <v>20</v>
      </c>
      <c r="E8" s="16" t="s">
        <v>53</v>
      </c>
      <c r="F8" s="16">
        <v>2</v>
      </c>
      <c r="G8" s="16" t="s">
        <v>53</v>
      </c>
      <c r="H8" s="16">
        <v>0.49</v>
      </c>
      <c r="I8" s="16" t="s">
        <v>51</v>
      </c>
      <c r="J8" s="16" t="s">
        <v>51</v>
      </c>
      <c r="K8" s="16" t="s">
        <v>51</v>
      </c>
      <c r="L8" s="13" t="s">
        <v>53</v>
      </c>
    </row>
    <row r="9" spans="1:12" x14ac:dyDescent="0.2">
      <c r="A9" s="15" t="s">
        <v>48</v>
      </c>
      <c r="B9" s="16" t="s">
        <v>45</v>
      </c>
      <c r="C9" s="16">
        <v>0.8</v>
      </c>
      <c r="D9" s="16" t="s">
        <v>53</v>
      </c>
      <c r="E9" s="16">
        <v>2</v>
      </c>
      <c r="F9" s="16">
        <v>2</v>
      </c>
      <c r="G9" s="16">
        <v>2</v>
      </c>
      <c r="H9" s="16">
        <v>0.49</v>
      </c>
      <c r="I9" s="16" t="s">
        <v>53</v>
      </c>
      <c r="J9" s="16" t="s">
        <v>51</v>
      </c>
      <c r="K9" s="16" t="s">
        <v>51</v>
      </c>
      <c r="L9" s="13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B4EA1-8254-E848-8391-5221343A83F9}">
  <dimension ref="A1:Z30"/>
  <sheetViews>
    <sheetView workbookViewId="0">
      <selection activeCell="C36" sqref="C36"/>
    </sheetView>
  </sheetViews>
  <sheetFormatPr baseColWidth="10" defaultRowHeight="16" x14ac:dyDescent="0.2"/>
  <cols>
    <col min="1" max="1" width="26.33203125" style="1" customWidth="1"/>
    <col min="2" max="2" width="5.5" style="1" customWidth="1"/>
    <col min="3" max="3" width="7.83203125" style="1" customWidth="1"/>
    <col min="4" max="11" width="6.83203125" style="1" customWidth="1"/>
    <col min="12" max="12" width="9.83203125" style="1" customWidth="1"/>
    <col min="13" max="13" width="13.5" style="1" customWidth="1"/>
    <col min="14" max="15" width="7" style="1" customWidth="1"/>
    <col min="16" max="16" width="8.6640625" style="1" customWidth="1"/>
    <col min="17" max="22" width="7" style="1" customWidth="1"/>
    <col min="23" max="23" width="11.6640625" style="1" customWidth="1"/>
    <col min="24" max="24" width="10.1640625" style="1" customWidth="1"/>
    <col min="25" max="25" width="11" style="1" customWidth="1"/>
    <col min="26" max="26" width="14.6640625" style="1" customWidth="1"/>
    <col min="27" max="16384" width="10.83203125" style="1"/>
  </cols>
  <sheetData>
    <row r="1" spans="1:26" x14ac:dyDescent="0.2">
      <c r="A1" s="19" t="s">
        <v>0</v>
      </c>
      <c r="B1" s="20" t="s">
        <v>29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18" t="s">
        <v>30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9" t="s">
        <v>31</v>
      </c>
    </row>
    <row r="2" spans="1:26" x14ac:dyDescent="0.2">
      <c r="A2" s="19"/>
      <c r="B2" s="20" t="s">
        <v>27</v>
      </c>
      <c r="C2" s="20"/>
      <c r="D2" s="20"/>
      <c r="E2" s="20"/>
      <c r="F2" s="20" t="s">
        <v>28</v>
      </c>
      <c r="G2" s="20"/>
      <c r="H2" s="20"/>
      <c r="I2" s="20"/>
      <c r="J2" s="20" t="s">
        <v>32</v>
      </c>
      <c r="K2" s="20"/>
      <c r="L2" s="20"/>
      <c r="M2" s="20"/>
      <c r="N2" s="18" t="s">
        <v>27</v>
      </c>
      <c r="O2" s="18"/>
      <c r="P2" s="18"/>
      <c r="Q2" s="18"/>
      <c r="R2" s="18" t="s">
        <v>28</v>
      </c>
      <c r="S2" s="18"/>
      <c r="T2" s="18"/>
      <c r="U2" s="18"/>
      <c r="V2" s="18" t="s">
        <v>32</v>
      </c>
      <c r="W2" s="18"/>
      <c r="X2" s="18"/>
      <c r="Y2" s="18"/>
      <c r="Z2" s="19"/>
    </row>
    <row r="3" spans="1:26" s="3" customFormat="1" x14ac:dyDescent="0.2">
      <c r="A3" s="19"/>
      <c r="B3" s="5">
        <v>1</v>
      </c>
      <c r="C3" s="5">
        <v>0.9</v>
      </c>
      <c r="D3" s="5">
        <v>0.8</v>
      </c>
      <c r="E3" s="5">
        <v>0.7</v>
      </c>
      <c r="F3" s="5">
        <v>1</v>
      </c>
      <c r="G3" s="5">
        <v>0.9</v>
      </c>
      <c r="H3" s="5">
        <v>0.8</v>
      </c>
      <c r="I3" s="5">
        <v>0.7</v>
      </c>
      <c r="J3" s="5">
        <v>1</v>
      </c>
      <c r="K3" s="5">
        <v>0.9</v>
      </c>
      <c r="L3" s="5">
        <v>0.8</v>
      </c>
      <c r="M3" s="5">
        <v>0.7</v>
      </c>
      <c r="N3" s="8">
        <v>1</v>
      </c>
      <c r="O3" s="8">
        <v>0.9</v>
      </c>
      <c r="P3" s="8">
        <v>0.8</v>
      </c>
      <c r="Q3" s="8">
        <v>0.7</v>
      </c>
      <c r="R3" s="8">
        <v>1</v>
      </c>
      <c r="S3" s="8">
        <v>0.9</v>
      </c>
      <c r="T3" s="8">
        <v>0.8</v>
      </c>
      <c r="U3" s="8">
        <v>0.7</v>
      </c>
      <c r="V3" s="8">
        <v>1</v>
      </c>
      <c r="W3" s="8">
        <v>0.9</v>
      </c>
      <c r="X3" s="8">
        <v>0.8</v>
      </c>
      <c r="Y3" s="8">
        <v>0.7</v>
      </c>
      <c r="Z3" s="19"/>
    </row>
    <row r="4" spans="1:26" x14ac:dyDescent="0.2">
      <c r="A4" s="4" t="s">
        <v>1</v>
      </c>
      <c r="B4" s="6">
        <v>0</v>
      </c>
      <c r="C4" s="6">
        <v>50</v>
      </c>
      <c r="D4" s="6">
        <v>637</v>
      </c>
      <c r="E4" s="6">
        <v>655</v>
      </c>
      <c r="F4" s="6">
        <v>0</v>
      </c>
      <c r="G4" s="6">
        <v>42</v>
      </c>
      <c r="H4" s="7">
        <v>261</v>
      </c>
      <c r="I4" s="6">
        <v>265</v>
      </c>
      <c r="J4" s="6">
        <v>0</v>
      </c>
      <c r="K4" s="6">
        <v>123</v>
      </c>
      <c r="L4" s="7">
        <v>391360</v>
      </c>
      <c r="M4" s="7">
        <v>707642</v>
      </c>
      <c r="N4" s="10">
        <v>454</v>
      </c>
      <c r="O4" s="10">
        <v>643</v>
      </c>
      <c r="P4" s="10">
        <v>656</v>
      </c>
      <c r="Q4" s="9">
        <v>659</v>
      </c>
      <c r="R4" s="10">
        <v>217</v>
      </c>
      <c r="S4" s="9">
        <v>261</v>
      </c>
      <c r="T4" s="9">
        <v>265</v>
      </c>
      <c r="U4" s="9">
        <v>266</v>
      </c>
      <c r="V4" s="10">
        <v>3746</v>
      </c>
      <c r="W4" s="10">
        <v>510462</v>
      </c>
      <c r="X4" s="10">
        <v>662827</v>
      </c>
      <c r="Y4" s="10">
        <v>687645</v>
      </c>
      <c r="Z4" s="2">
        <v>13031766</v>
      </c>
    </row>
    <row r="5" spans="1:26" x14ac:dyDescent="0.2">
      <c r="A5" s="4" t="s">
        <v>2</v>
      </c>
      <c r="B5" s="6">
        <v>0</v>
      </c>
      <c r="C5" s="6">
        <v>37</v>
      </c>
      <c r="D5" s="7">
        <v>975</v>
      </c>
      <c r="E5" s="7">
        <v>1008</v>
      </c>
      <c r="F5" s="6">
        <v>0</v>
      </c>
      <c r="G5" s="6">
        <v>35</v>
      </c>
      <c r="H5" s="6">
        <v>399</v>
      </c>
      <c r="I5" s="6">
        <v>409</v>
      </c>
      <c r="J5" s="6">
        <v>0</v>
      </c>
      <c r="K5" s="6">
        <v>67</v>
      </c>
      <c r="L5" s="7">
        <v>435380</v>
      </c>
      <c r="M5" s="7">
        <v>1066797</v>
      </c>
      <c r="N5" s="10">
        <v>0</v>
      </c>
      <c r="O5" s="10">
        <v>986</v>
      </c>
      <c r="P5" s="10">
        <v>1010</v>
      </c>
      <c r="Q5" s="10">
        <v>1016</v>
      </c>
      <c r="R5" s="9">
        <v>0</v>
      </c>
      <c r="S5" s="9">
        <v>403</v>
      </c>
      <c r="T5" s="9">
        <v>409</v>
      </c>
      <c r="U5" s="9">
        <v>411</v>
      </c>
      <c r="V5" s="10">
        <v>0</v>
      </c>
      <c r="W5" s="10">
        <v>670200</v>
      </c>
      <c r="X5" s="10">
        <v>997042</v>
      </c>
      <c r="Y5" s="10">
        <v>1031953</v>
      </c>
      <c r="Z5" s="2">
        <v>19975669</v>
      </c>
    </row>
    <row r="6" spans="1:26" x14ac:dyDescent="0.2">
      <c r="A6" s="4" t="s">
        <v>3</v>
      </c>
      <c r="B6" s="6">
        <v>2</v>
      </c>
      <c r="C6" s="6">
        <v>188</v>
      </c>
      <c r="D6" s="6">
        <v>234</v>
      </c>
      <c r="E6" s="6">
        <v>234</v>
      </c>
      <c r="F6" s="6">
        <v>2</v>
      </c>
      <c r="G6" s="6">
        <v>85</v>
      </c>
      <c r="H6" s="6">
        <v>94</v>
      </c>
      <c r="I6" s="6">
        <v>94</v>
      </c>
      <c r="J6" s="6">
        <v>3</v>
      </c>
      <c r="K6" s="7">
        <v>1827</v>
      </c>
      <c r="L6" s="7">
        <v>228181</v>
      </c>
      <c r="M6" s="7">
        <v>290746</v>
      </c>
      <c r="N6" s="10">
        <v>170</v>
      </c>
      <c r="O6" s="10">
        <v>234</v>
      </c>
      <c r="P6" s="9">
        <v>234</v>
      </c>
      <c r="Q6" s="9">
        <v>234</v>
      </c>
      <c r="R6" s="9">
        <v>83</v>
      </c>
      <c r="S6" s="9">
        <v>94</v>
      </c>
      <c r="T6" s="9">
        <v>94</v>
      </c>
      <c r="U6" s="9">
        <v>94</v>
      </c>
      <c r="V6" s="10">
        <v>1196</v>
      </c>
      <c r="W6" s="10">
        <v>210082</v>
      </c>
      <c r="X6" s="10">
        <v>262824</v>
      </c>
      <c r="Y6" s="10">
        <v>268341</v>
      </c>
      <c r="Z6" s="2">
        <v>4673076</v>
      </c>
    </row>
    <row r="7" spans="1:26" x14ac:dyDescent="0.2">
      <c r="A7" s="4" t="s">
        <v>4</v>
      </c>
      <c r="B7" s="6">
        <v>0</v>
      </c>
      <c r="C7" s="6">
        <v>0</v>
      </c>
      <c r="D7" s="6">
        <v>6</v>
      </c>
      <c r="E7" s="6">
        <v>31</v>
      </c>
      <c r="F7" s="7">
        <v>0</v>
      </c>
      <c r="G7" s="6">
        <v>0</v>
      </c>
      <c r="H7" s="6">
        <v>5</v>
      </c>
      <c r="I7" s="6">
        <v>14</v>
      </c>
      <c r="J7" s="6">
        <v>0</v>
      </c>
      <c r="K7" s="6">
        <v>0</v>
      </c>
      <c r="L7" s="6">
        <v>8</v>
      </c>
      <c r="M7" s="6">
        <v>359</v>
      </c>
      <c r="N7" s="9">
        <v>0</v>
      </c>
      <c r="O7" s="9">
        <v>13</v>
      </c>
      <c r="P7" s="9">
        <v>31</v>
      </c>
      <c r="Q7" s="9">
        <v>33</v>
      </c>
      <c r="R7" s="9">
        <v>0</v>
      </c>
      <c r="S7" s="9">
        <v>8</v>
      </c>
      <c r="T7" s="9">
        <v>14</v>
      </c>
      <c r="U7" s="9">
        <v>15</v>
      </c>
      <c r="V7" s="9">
        <v>0</v>
      </c>
      <c r="W7" s="9">
        <v>29</v>
      </c>
      <c r="X7" s="10">
        <v>334</v>
      </c>
      <c r="Y7" s="10">
        <v>762</v>
      </c>
      <c r="Z7" s="2">
        <v>447512</v>
      </c>
    </row>
    <row r="8" spans="1:26" x14ac:dyDescent="0.2">
      <c r="A8" s="4" t="s">
        <v>5</v>
      </c>
      <c r="B8" s="6">
        <v>0</v>
      </c>
      <c r="C8" s="6">
        <v>0</v>
      </c>
      <c r="D8" s="7">
        <v>592</v>
      </c>
      <c r="E8" s="7">
        <v>643</v>
      </c>
      <c r="F8" s="7">
        <v>0</v>
      </c>
      <c r="G8" s="6">
        <v>0</v>
      </c>
      <c r="H8" s="6">
        <v>246</v>
      </c>
      <c r="I8" s="6">
        <v>263</v>
      </c>
      <c r="J8" s="6">
        <v>0</v>
      </c>
      <c r="K8" s="6">
        <v>0</v>
      </c>
      <c r="L8" s="7">
        <v>182090</v>
      </c>
      <c r="M8" s="7">
        <v>668192</v>
      </c>
      <c r="N8" s="9">
        <v>0</v>
      </c>
      <c r="O8" s="10">
        <v>608</v>
      </c>
      <c r="P8" s="9">
        <v>645</v>
      </c>
      <c r="Q8" s="9">
        <v>648</v>
      </c>
      <c r="R8" s="9">
        <v>0</v>
      </c>
      <c r="S8" s="9">
        <v>251</v>
      </c>
      <c r="T8" s="10">
        <v>263</v>
      </c>
      <c r="U8" s="9">
        <v>263</v>
      </c>
      <c r="V8" s="9">
        <v>0</v>
      </c>
      <c r="W8" s="10">
        <v>333115</v>
      </c>
      <c r="X8" s="10">
        <v>624975</v>
      </c>
      <c r="Y8" s="10">
        <v>648428</v>
      </c>
      <c r="Z8" s="2">
        <v>12471928</v>
      </c>
    </row>
    <row r="9" spans="1:26" x14ac:dyDescent="0.2">
      <c r="A9" s="4" t="s">
        <v>6</v>
      </c>
      <c r="B9" s="6">
        <v>0</v>
      </c>
      <c r="C9" s="6">
        <v>0</v>
      </c>
      <c r="D9" s="6">
        <v>10</v>
      </c>
      <c r="E9" s="6">
        <v>27</v>
      </c>
      <c r="F9" s="7">
        <v>0</v>
      </c>
      <c r="G9" s="6">
        <v>0</v>
      </c>
      <c r="H9" s="6">
        <v>7</v>
      </c>
      <c r="I9" s="6">
        <v>13</v>
      </c>
      <c r="J9" s="6">
        <v>0</v>
      </c>
      <c r="K9" s="6">
        <v>0</v>
      </c>
      <c r="L9" s="6">
        <v>30</v>
      </c>
      <c r="M9" s="7">
        <v>318</v>
      </c>
      <c r="N9" s="9">
        <v>0</v>
      </c>
      <c r="O9" s="9">
        <v>14</v>
      </c>
      <c r="P9" s="9">
        <v>26</v>
      </c>
      <c r="Q9" s="9">
        <v>29</v>
      </c>
      <c r="R9" s="9">
        <v>0</v>
      </c>
      <c r="S9" s="9">
        <v>10</v>
      </c>
      <c r="T9" s="9">
        <v>13</v>
      </c>
      <c r="U9" s="9">
        <v>14</v>
      </c>
      <c r="V9" s="9">
        <v>0</v>
      </c>
      <c r="W9" s="9">
        <v>46</v>
      </c>
      <c r="X9" s="9">
        <v>299</v>
      </c>
      <c r="Y9" s="10">
        <v>617</v>
      </c>
      <c r="Z9" s="2">
        <v>345346</v>
      </c>
    </row>
    <row r="10" spans="1:26" x14ac:dyDescent="0.2">
      <c r="A10" s="4" t="s">
        <v>7</v>
      </c>
      <c r="B10" s="6">
        <v>0</v>
      </c>
      <c r="C10" s="6">
        <v>60</v>
      </c>
      <c r="D10" s="7">
        <v>322</v>
      </c>
      <c r="E10" s="6">
        <v>331</v>
      </c>
      <c r="F10" s="7">
        <v>0</v>
      </c>
      <c r="G10" s="6">
        <v>46</v>
      </c>
      <c r="H10" s="6">
        <v>133</v>
      </c>
      <c r="I10" s="6">
        <v>135</v>
      </c>
      <c r="J10" s="6">
        <v>0</v>
      </c>
      <c r="K10" s="7">
        <v>1283</v>
      </c>
      <c r="L10" s="7">
        <v>183142</v>
      </c>
      <c r="M10" s="6">
        <v>317226</v>
      </c>
      <c r="N10" s="10">
        <v>224</v>
      </c>
      <c r="O10" s="9">
        <v>325</v>
      </c>
      <c r="P10" s="9">
        <v>329</v>
      </c>
      <c r="Q10" s="9">
        <v>332</v>
      </c>
      <c r="R10" s="10">
        <v>109</v>
      </c>
      <c r="S10" s="9">
        <v>134</v>
      </c>
      <c r="T10" s="9">
        <v>134</v>
      </c>
      <c r="U10" s="9">
        <v>135</v>
      </c>
      <c r="V10" s="10">
        <v>4616</v>
      </c>
      <c r="W10" s="10">
        <v>223006</v>
      </c>
      <c r="X10" s="10">
        <v>293063</v>
      </c>
      <c r="Y10" s="10">
        <v>306459</v>
      </c>
      <c r="Z10" s="2">
        <v>6632809</v>
      </c>
    </row>
    <row r="11" spans="1:26" x14ac:dyDescent="0.2">
      <c r="A11" s="4" t="s">
        <v>8</v>
      </c>
      <c r="B11" s="6">
        <v>0</v>
      </c>
      <c r="C11" s="6">
        <v>1</v>
      </c>
      <c r="D11" s="6">
        <v>23</v>
      </c>
      <c r="E11" s="6">
        <v>54</v>
      </c>
      <c r="F11" s="7">
        <v>0</v>
      </c>
      <c r="G11" s="6">
        <v>1</v>
      </c>
      <c r="H11" s="6">
        <v>16</v>
      </c>
      <c r="I11" s="6">
        <v>27</v>
      </c>
      <c r="J11" s="6">
        <v>0</v>
      </c>
      <c r="K11" s="6">
        <v>2</v>
      </c>
      <c r="L11" s="7">
        <v>102</v>
      </c>
      <c r="M11" s="7">
        <v>827</v>
      </c>
      <c r="N11" s="9">
        <v>2</v>
      </c>
      <c r="O11" s="9">
        <v>32</v>
      </c>
      <c r="P11" s="9">
        <v>55</v>
      </c>
      <c r="Q11" s="9">
        <v>60</v>
      </c>
      <c r="R11" s="9">
        <v>2</v>
      </c>
      <c r="S11" s="9">
        <v>17</v>
      </c>
      <c r="T11" s="9">
        <v>27</v>
      </c>
      <c r="U11" s="9">
        <v>28</v>
      </c>
      <c r="V11" s="9">
        <v>7</v>
      </c>
      <c r="W11" s="9">
        <v>145</v>
      </c>
      <c r="X11" s="10">
        <v>748</v>
      </c>
      <c r="Y11" s="10">
        <v>1540</v>
      </c>
      <c r="Z11" s="2">
        <v>811135</v>
      </c>
    </row>
    <row r="12" spans="1:26" x14ac:dyDescent="0.2">
      <c r="A12" s="4" t="s">
        <v>9</v>
      </c>
      <c r="B12" s="6">
        <v>0</v>
      </c>
      <c r="C12" s="6">
        <v>4</v>
      </c>
      <c r="D12" s="6">
        <v>604</v>
      </c>
      <c r="E12" s="7">
        <v>617</v>
      </c>
      <c r="F12" s="7">
        <v>0</v>
      </c>
      <c r="G12" s="6">
        <v>4</v>
      </c>
      <c r="H12" s="7">
        <v>246</v>
      </c>
      <c r="I12" s="6">
        <v>251</v>
      </c>
      <c r="J12" s="6">
        <v>0</v>
      </c>
      <c r="K12" s="6">
        <v>9</v>
      </c>
      <c r="L12" s="7">
        <v>179813</v>
      </c>
      <c r="M12" s="7">
        <v>647542</v>
      </c>
      <c r="N12" s="9">
        <v>0</v>
      </c>
      <c r="O12" s="10">
        <v>608</v>
      </c>
      <c r="P12" s="10">
        <v>619</v>
      </c>
      <c r="Q12" s="10">
        <v>634</v>
      </c>
      <c r="R12" s="9">
        <v>0</v>
      </c>
      <c r="S12" s="9">
        <v>245</v>
      </c>
      <c r="T12" s="9">
        <v>251</v>
      </c>
      <c r="U12" s="9">
        <v>259</v>
      </c>
      <c r="V12" s="9">
        <v>0</v>
      </c>
      <c r="W12" s="10">
        <v>319899</v>
      </c>
      <c r="X12" s="10">
        <v>604424</v>
      </c>
      <c r="Y12" s="10">
        <v>633016</v>
      </c>
      <c r="Z12" s="2">
        <v>12623223</v>
      </c>
    </row>
    <row r="13" spans="1:26" x14ac:dyDescent="0.2">
      <c r="A13" s="4" t="s">
        <v>10</v>
      </c>
      <c r="B13" s="6">
        <v>0</v>
      </c>
      <c r="C13" s="6">
        <v>0</v>
      </c>
      <c r="D13" s="6">
        <v>23</v>
      </c>
      <c r="E13" s="6">
        <v>42</v>
      </c>
      <c r="F13" s="7">
        <v>0</v>
      </c>
      <c r="G13" s="6">
        <v>0</v>
      </c>
      <c r="H13" s="6">
        <v>14</v>
      </c>
      <c r="I13" s="6">
        <v>20</v>
      </c>
      <c r="J13" s="6">
        <v>0</v>
      </c>
      <c r="K13" s="6">
        <v>0</v>
      </c>
      <c r="L13" s="6">
        <v>317</v>
      </c>
      <c r="M13" s="7">
        <v>2454</v>
      </c>
      <c r="N13" s="9">
        <v>0</v>
      </c>
      <c r="O13" s="9">
        <v>21</v>
      </c>
      <c r="P13" s="9">
        <v>41</v>
      </c>
      <c r="Q13" s="9">
        <v>48</v>
      </c>
      <c r="R13" s="9">
        <v>0</v>
      </c>
      <c r="S13" s="9">
        <v>12</v>
      </c>
      <c r="T13" s="9">
        <v>20</v>
      </c>
      <c r="U13" s="9">
        <v>21</v>
      </c>
      <c r="V13" s="9">
        <v>0</v>
      </c>
      <c r="W13" s="10">
        <v>354</v>
      </c>
      <c r="X13" s="10">
        <v>1762</v>
      </c>
      <c r="Y13" s="10">
        <v>9044</v>
      </c>
      <c r="Z13" s="2">
        <v>956512</v>
      </c>
    </row>
    <row r="14" spans="1:26" x14ac:dyDescent="0.2">
      <c r="A14" s="4" t="s">
        <v>11</v>
      </c>
      <c r="B14" s="6">
        <v>0</v>
      </c>
      <c r="C14" s="6">
        <v>4</v>
      </c>
      <c r="D14" s="7">
        <v>557</v>
      </c>
      <c r="E14" s="6">
        <v>611</v>
      </c>
      <c r="F14" s="7">
        <v>0</v>
      </c>
      <c r="G14" s="6">
        <v>4</v>
      </c>
      <c r="H14" s="6">
        <v>229</v>
      </c>
      <c r="I14" s="6">
        <v>248</v>
      </c>
      <c r="J14" s="6">
        <v>0</v>
      </c>
      <c r="K14" s="6">
        <v>5</v>
      </c>
      <c r="L14" s="7">
        <v>135498</v>
      </c>
      <c r="M14" s="7">
        <v>639643</v>
      </c>
      <c r="N14" s="9">
        <v>0</v>
      </c>
      <c r="O14" s="9">
        <v>572</v>
      </c>
      <c r="P14" s="10">
        <v>610</v>
      </c>
      <c r="Q14" s="9">
        <v>612</v>
      </c>
      <c r="R14" s="9">
        <v>0</v>
      </c>
      <c r="S14" s="10">
        <v>237</v>
      </c>
      <c r="T14" s="10">
        <v>248</v>
      </c>
      <c r="U14" s="10">
        <v>249</v>
      </c>
      <c r="V14" s="9">
        <v>0</v>
      </c>
      <c r="W14" s="10">
        <v>264661</v>
      </c>
      <c r="X14" s="10">
        <v>596107</v>
      </c>
      <c r="Y14" s="10">
        <v>620292</v>
      </c>
      <c r="Z14" s="2">
        <v>11833757</v>
      </c>
    </row>
    <row r="15" spans="1:26" x14ac:dyDescent="0.2">
      <c r="A15" s="4" t="s">
        <v>12</v>
      </c>
      <c r="B15" s="6">
        <v>0</v>
      </c>
      <c r="C15" s="6">
        <v>10</v>
      </c>
      <c r="D15" s="7">
        <v>1162</v>
      </c>
      <c r="E15" s="6">
        <v>1194</v>
      </c>
      <c r="F15" s="7">
        <v>0</v>
      </c>
      <c r="G15" s="6">
        <v>10</v>
      </c>
      <c r="H15" s="6">
        <v>474</v>
      </c>
      <c r="I15" s="6">
        <v>482</v>
      </c>
      <c r="J15" s="6">
        <v>0</v>
      </c>
      <c r="K15" s="6">
        <v>13</v>
      </c>
      <c r="L15" s="7">
        <v>376501</v>
      </c>
      <c r="M15" s="7">
        <v>1318509</v>
      </c>
      <c r="N15" s="9">
        <v>0</v>
      </c>
      <c r="O15" s="10">
        <v>1176</v>
      </c>
      <c r="P15" s="10">
        <v>1193</v>
      </c>
      <c r="Q15" s="10">
        <v>1197</v>
      </c>
      <c r="R15" s="9">
        <v>0</v>
      </c>
      <c r="S15" s="10">
        <v>477</v>
      </c>
      <c r="T15" s="10">
        <v>482</v>
      </c>
      <c r="U15" s="10">
        <v>483</v>
      </c>
      <c r="V15" s="9">
        <v>0</v>
      </c>
      <c r="W15" s="10">
        <v>645090</v>
      </c>
      <c r="X15" s="10">
        <v>1220872</v>
      </c>
      <c r="Y15" s="10">
        <v>1272298</v>
      </c>
      <c r="Z15" s="2">
        <v>23833456</v>
      </c>
    </row>
    <row r="16" spans="1:26" x14ac:dyDescent="0.2">
      <c r="A16" s="4" t="s">
        <v>13</v>
      </c>
      <c r="B16" s="6">
        <v>0</v>
      </c>
      <c r="C16" s="6">
        <v>132</v>
      </c>
      <c r="D16" s="7">
        <v>690</v>
      </c>
      <c r="E16" s="7">
        <v>735</v>
      </c>
      <c r="F16" s="7">
        <v>0</v>
      </c>
      <c r="G16" s="6">
        <v>101</v>
      </c>
      <c r="H16" s="6">
        <v>288</v>
      </c>
      <c r="I16" s="6">
        <v>300</v>
      </c>
      <c r="J16" s="6">
        <v>0</v>
      </c>
      <c r="K16" s="7">
        <v>426</v>
      </c>
      <c r="L16" s="7">
        <v>447540</v>
      </c>
      <c r="M16" s="7">
        <v>771663</v>
      </c>
      <c r="N16" s="10">
        <v>473</v>
      </c>
      <c r="O16" s="10">
        <v>710</v>
      </c>
      <c r="P16" s="10">
        <v>736</v>
      </c>
      <c r="Q16" s="10">
        <v>744</v>
      </c>
      <c r="R16" s="10">
        <v>228</v>
      </c>
      <c r="S16" s="10">
        <v>294</v>
      </c>
      <c r="T16" s="10">
        <v>299</v>
      </c>
      <c r="U16" s="9">
        <v>301</v>
      </c>
      <c r="V16" s="10">
        <v>3164</v>
      </c>
      <c r="W16" s="10">
        <v>555495</v>
      </c>
      <c r="X16" s="10">
        <v>716380</v>
      </c>
      <c r="Y16" s="10">
        <v>735889</v>
      </c>
      <c r="Z16" s="2">
        <v>14182361</v>
      </c>
    </row>
    <row r="17" spans="1:26" x14ac:dyDescent="0.2">
      <c r="A17" s="4" t="s">
        <v>14</v>
      </c>
      <c r="B17" s="6">
        <v>0</v>
      </c>
      <c r="C17" s="6">
        <v>44</v>
      </c>
      <c r="D17" s="7">
        <v>548</v>
      </c>
      <c r="E17" s="6">
        <v>561</v>
      </c>
      <c r="F17" s="7">
        <v>0</v>
      </c>
      <c r="G17" s="6">
        <v>38</v>
      </c>
      <c r="H17" s="6">
        <v>223</v>
      </c>
      <c r="I17" s="6">
        <v>227</v>
      </c>
      <c r="J17" s="6">
        <v>0</v>
      </c>
      <c r="K17" s="6">
        <v>272</v>
      </c>
      <c r="L17" s="7">
        <v>304237</v>
      </c>
      <c r="M17" s="7">
        <v>568015</v>
      </c>
      <c r="N17" s="9">
        <v>375</v>
      </c>
      <c r="O17" s="10">
        <v>551</v>
      </c>
      <c r="P17" s="10">
        <v>561</v>
      </c>
      <c r="Q17" s="10">
        <v>563</v>
      </c>
      <c r="R17" s="10">
        <v>186</v>
      </c>
      <c r="S17" s="10">
        <v>225</v>
      </c>
      <c r="T17" s="10">
        <v>221</v>
      </c>
      <c r="U17" s="9">
        <v>228</v>
      </c>
      <c r="V17" s="10">
        <v>4437</v>
      </c>
      <c r="W17" s="10">
        <v>396875</v>
      </c>
      <c r="X17" s="10">
        <v>530029</v>
      </c>
      <c r="Y17" s="10">
        <v>556434</v>
      </c>
      <c r="Z17" s="2">
        <v>11263312</v>
      </c>
    </row>
    <row r="18" spans="1:26" x14ac:dyDescent="0.2">
      <c r="A18" s="4" t="s">
        <v>15</v>
      </c>
      <c r="B18" s="6">
        <v>0</v>
      </c>
      <c r="C18" s="6">
        <v>39</v>
      </c>
      <c r="D18" s="7">
        <v>365</v>
      </c>
      <c r="E18" s="6">
        <v>378</v>
      </c>
      <c r="F18" s="7">
        <v>0</v>
      </c>
      <c r="G18" s="6">
        <v>31</v>
      </c>
      <c r="H18" s="6">
        <v>152</v>
      </c>
      <c r="I18" s="6">
        <v>155</v>
      </c>
      <c r="J18" s="6">
        <v>0</v>
      </c>
      <c r="K18" s="7">
        <v>174</v>
      </c>
      <c r="L18" s="7">
        <v>176823</v>
      </c>
      <c r="M18" s="7">
        <v>346008</v>
      </c>
      <c r="N18" s="9">
        <v>204</v>
      </c>
      <c r="O18" s="10">
        <v>366</v>
      </c>
      <c r="P18" s="10">
        <v>376</v>
      </c>
      <c r="Q18" s="10">
        <v>380</v>
      </c>
      <c r="R18" s="9">
        <v>100</v>
      </c>
      <c r="S18" s="9">
        <v>152</v>
      </c>
      <c r="T18" s="9">
        <v>155</v>
      </c>
      <c r="U18" s="9">
        <v>156</v>
      </c>
      <c r="V18" s="10">
        <v>1567</v>
      </c>
      <c r="W18" s="10">
        <v>232946</v>
      </c>
      <c r="X18" s="10">
        <v>323308</v>
      </c>
      <c r="Y18" s="10">
        <v>343548</v>
      </c>
      <c r="Z18" s="2">
        <v>7708249</v>
      </c>
    </row>
    <row r="19" spans="1:26" x14ac:dyDescent="0.2">
      <c r="A19" s="4" t="s">
        <v>16</v>
      </c>
      <c r="B19" s="6">
        <v>0</v>
      </c>
      <c r="C19" s="6">
        <v>0</v>
      </c>
      <c r="D19" s="6">
        <v>317</v>
      </c>
      <c r="E19" s="7">
        <v>331</v>
      </c>
      <c r="F19" s="7">
        <v>0</v>
      </c>
      <c r="G19" s="6">
        <v>0</v>
      </c>
      <c r="H19" s="6">
        <v>131</v>
      </c>
      <c r="I19" s="6">
        <v>134</v>
      </c>
      <c r="J19" s="6">
        <v>0</v>
      </c>
      <c r="K19" s="6">
        <v>0</v>
      </c>
      <c r="L19" s="7">
        <v>50628</v>
      </c>
      <c r="M19" s="7">
        <v>298091</v>
      </c>
      <c r="N19" s="9">
        <v>0</v>
      </c>
      <c r="O19" s="10">
        <v>323</v>
      </c>
      <c r="P19" s="10">
        <v>329</v>
      </c>
      <c r="Q19" s="10">
        <v>332</v>
      </c>
      <c r="R19" s="9">
        <v>0</v>
      </c>
      <c r="S19" s="9">
        <v>132</v>
      </c>
      <c r="T19" s="9">
        <v>133</v>
      </c>
      <c r="U19" s="9">
        <v>135</v>
      </c>
      <c r="V19" s="9">
        <v>0</v>
      </c>
      <c r="W19" s="10">
        <v>101194</v>
      </c>
      <c r="X19" s="10">
        <v>279154</v>
      </c>
      <c r="Y19" s="10">
        <v>306909</v>
      </c>
      <c r="Z19" s="2">
        <v>6609936</v>
      </c>
    </row>
    <row r="20" spans="1:26" x14ac:dyDescent="0.2">
      <c r="A20" s="4" t="s">
        <v>17</v>
      </c>
      <c r="B20" s="6">
        <v>0</v>
      </c>
      <c r="C20" s="6">
        <v>0</v>
      </c>
      <c r="D20" s="6">
        <v>614</v>
      </c>
      <c r="E20" s="6">
        <v>635</v>
      </c>
      <c r="F20" s="7">
        <v>0</v>
      </c>
      <c r="G20" s="6">
        <v>0</v>
      </c>
      <c r="H20" s="7">
        <v>253</v>
      </c>
      <c r="I20" s="6">
        <v>258</v>
      </c>
      <c r="J20" s="6">
        <v>0</v>
      </c>
      <c r="K20" s="6">
        <v>0</v>
      </c>
      <c r="L20" s="7">
        <v>103647</v>
      </c>
      <c r="M20" s="7">
        <v>640532</v>
      </c>
      <c r="N20" s="9">
        <v>0</v>
      </c>
      <c r="O20" s="10">
        <v>621</v>
      </c>
      <c r="P20" s="10">
        <v>636</v>
      </c>
      <c r="Q20" s="10">
        <v>639</v>
      </c>
      <c r="R20" s="9">
        <v>0</v>
      </c>
      <c r="S20" s="10">
        <v>253</v>
      </c>
      <c r="T20" s="10">
        <v>258</v>
      </c>
      <c r="U20" s="9">
        <v>259</v>
      </c>
      <c r="V20" s="9">
        <v>0</v>
      </c>
      <c r="W20" s="10">
        <v>215505</v>
      </c>
      <c r="X20" s="10">
        <v>598374</v>
      </c>
      <c r="Y20" s="10">
        <v>642915</v>
      </c>
      <c r="Z20" s="2">
        <v>12751659</v>
      </c>
    </row>
    <row r="21" spans="1:26" x14ac:dyDescent="0.2">
      <c r="A21" s="4" t="s">
        <v>18</v>
      </c>
      <c r="B21" s="6">
        <v>0</v>
      </c>
      <c r="C21" s="6">
        <v>370</v>
      </c>
      <c r="D21" s="7">
        <v>723</v>
      </c>
      <c r="E21" s="7">
        <v>756</v>
      </c>
      <c r="F21" s="7">
        <v>0</v>
      </c>
      <c r="G21" s="6">
        <v>210</v>
      </c>
      <c r="H21" s="6">
        <v>298</v>
      </c>
      <c r="I21" s="6">
        <v>309</v>
      </c>
      <c r="J21" s="6">
        <v>0</v>
      </c>
      <c r="K21" s="7">
        <v>2288</v>
      </c>
      <c r="L21" s="7">
        <v>539857</v>
      </c>
      <c r="M21" s="7">
        <v>811813</v>
      </c>
      <c r="N21" s="9">
        <v>500</v>
      </c>
      <c r="O21" s="10">
        <v>726</v>
      </c>
      <c r="P21" s="10">
        <v>754</v>
      </c>
      <c r="Q21" s="10">
        <v>766</v>
      </c>
      <c r="R21" s="9">
        <v>243</v>
      </c>
      <c r="S21" s="10">
        <v>298</v>
      </c>
      <c r="T21" s="10">
        <v>309</v>
      </c>
      <c r="U21" s="10">
        <v>310</v>
      </c>
      <c r="V21" s="10">
        <v>3872</v>
      </c>
      <c r="W21" s="10">
        <v>573930</v>
      </c>
      <c r="X21" s="10">
        <v>738568</v>
      </c>
      <c r="Y21" s="10">
        <v>759293</v>
      </c>
      <c r="Z21" s="2">
        <v>14878584</v>
      </c>
    </row>
    <row r="22" spans="1:26" x14ac:dyDescent="0.2">
      <c r="A22" s="4" t="s">
        <v>19</v>
      </c>
      <c r="B22" s="6">
        <v>0</v>
      </c>
      <c r="C22" s="6">
        <v>150</v>
      </c>
      <c r="D22" s="6">
        <v>357</v>
      </c>
      <c r="E22" s="7">
        <v>368</v>
      </c>
      <c r="F22" s="6">
        <v>0</v>
      </c>
      <c r="G22" s="6">
        <v>90</v>
      </c>
      <c r="H22" s="7">
        <v>149</v>
      </c>
      <c r="I22" s="6">
        <v>154</v>
      </c>
      <c r="J22" s="6">
        <v>0</v>
      </c>
      <c r="K22" s="7">
        <v>1470</v>
      </c>
      <c r="L22" s="7">
        <v>196368</v>
      </c>
      <c r="M22" s="7">
        <v>335097</v>
      </c>
      <c r="N22" s="9">
        <v>241</v>
      </c>
      <c r="O22" s="10">
        <v>356</v>
      </c>
      <c r="P22" s="10">
        <v>368</v>
      </c>
      <c r="Q22" s="10">
        <v>375</v>
      </c>
      <c r="R22" s="9">
        <v>73</v>
      </c>
      <c r="S22" s="9">
        <v>150</v>
      </c>
      <c r="T22" s="10">
        <v>153</v>
      </c>
      <c r="U22" s="10">
        <v>154</v>
      </c>
      <c r="V22" s="10">
        <v>2597</v>
      </c>
      <c r="W22" s="10">
        <v>220650</v>
      </c>
      <c r="X22" s="10">
        <v>306516</v>
      </c>
      <c r="Y22" s="10">
        <v>326609</v>
      </c>
      <c r="Z22" s="2">
        <v>7359321</v>
      </c>
    </row>
    <row r="23" spans="1:26" x14ac:dyDescent="0.2">
      <c r="A23" s="4" t="s">
        <v>20</v>
      </c>
      <c r="B23" s="6">
        <v>0</v>
      </c>
      <c r="C23" s="6">
        <v>46</v>
      </c>
      <c r="D23" s="7">
        <v>688</v>
      </c>
      <c r="E23" s="7">
        <v>724</v>
      </c>
      <c r="F23" s="6">
        <v>0</v>
      </c>
      <c r="G23" s="6">
        <v>42</v>
      </c>
      <c r="H23" s="6">
        <v>285</v>
      </c>
      <c r="I23" s="6">
        <v>293</v>
      </c>
      <c r="J23" s="6">
        <v>0</v>
      </c>
      <c r="K23" s="7">
        <v>168</v>
      </c>
      <c r="L23" s="7">
        <v>252803</v>
      </c>
      <c r="M23" s="7">
        <v>710788</v>
      </c>
      <c r="N23" s="9">
        <v>0</v>
      </c>
      <c r="O23" s="9">
        <v>696</v>
      </c>
      <c r="P23" s="9">
        <v>721</v>
      </c>
      <c r="Q23" s="9">
        <v>728</v>
      </c>
      <c r="R23" s="9">
        <v>0</v>
      </c>
      <c r="S23" s="9">
        <v>286</v>
      </c>
      <c r="T23" s="9">
        <v>292</v>
      </c>
      <c r="U23" s="9">
        <v>294</v>
      </c>
      <c r="V23" s="9">
        <v>0</v>
      </c>
      <c r="W23" s="10">
        <v>346786</v>
      </c>
      <c r="X23" s="10">
        <v>660078</v>
      </c>
      <c r="Y23" s="10">
        <v>696277</v>
      </c>
      <c r="Z23" s="2">
        <v>14486858</v>
      </c>
    </row>
    <row r="24" spans="1:26" x14ac:dyDescent="0.2">
      <c r="A24" s="4" t="s">
        <v>21</v>
      </c>
      <c r="B24" s="6">
        <v>0</v>
      </c>
      <c r="C24" s="6">
        <v>0</v>
      </c>
      <c r="D24" s="6">
        <v>56</v>
      </c>
      <c r="E24" s="6">
        <v>82</v>
      </c>
      <c r="F24" s="6">
        <v>0</v>
      </c>
      <c r="G24" s="6">
        <v>0</v>
      </c>
      <c r="H24" s="6">
        <v>28</v>
      </c>
      <c r="I24" s="6">
        <v>37</v>
      </c>
      <c r="J24" s="6">
        <v>0</v>
      </c>
      <c r="K24" s="6">
        <v>0</v>
      </c>
      <c r="L24" s="7">
        <v>8102</v>
      </c>
      <c r="M24" s="7">
        <v>25495</v>
      </c>
      <c r="N24" s="9">
        <v>0</v>
      </c>
      <c r="O24" s="9">
        <v>60</v>
      </c>
      <c r="P24" s="9">
        <v>81</v>
      </c>
      <c r="Q24" s="9">
        <v>93</v>
      </c>
      <c r="R24" s="9">
        <v>0</v>
      </c>
      <c r="S24" s="9">
        <v>30</v>
      </c>
      <c r="T24" s="9">
        <v>36</v>
      </c>
      <c r="U24" s="9">
        <v>42</v>
      </c>
      <c r="V24" s="9">
        <v>0</v>
      </c>
      <c r="W24" s="10">
        <v>11258</v>
      </c>
      <c r="X24" s="10">
        <v>24042</v>
      </c>
      <c r="Y24" s="10">
        <v>31303</v>
      </c>
      <c r="Z24" s="2">
        <v>1821026</v>
      </c>
    </row>
    <row r="25" spans="1:26" x14ac:dyDescent="0.2">
      <c r="A25" s="4" t="s">
        <v>22</v>
      </c>
      <c r="B25" s="6">
        <v>0</v>
      </c>
      <c r="C25" s="6">
        <v>0</v>
      </c>
      <c r="D25" s="6">
        <v>13</v>
      </c>
      <c r="E25" s="6">
        <v>30</v>
      </c>
      <c r="F25" s="6">
        <v>0</v>
      </c>
      <c r="G25" s="6">
        <v>0</v>
      </c>
      <c r="H25" s="6">
        <v>6</v>
      </c>
      <c r="I25" s="6">
        <v>15</v>
      </c>
      <c r="J25" s="6">
        <v>0</v>
      </c>
      <c r="K25" s="6">
        <v>0</v>
      </c>
      <c r="L25" s="7">
        <v>1617</v>
      </c>
      <c r="M25" s="7">
        <v>11552</v>
      </c>
      <c r="N25" s="9">
        <v>0</v>
      </c>
      <c r="O25" s="9">
        <v>15</v>
      </c>
      <c r="P25" s="9">
        <v>30</v>
      </c>
      <c r="Q25" s="9">
        <v>37</v>
      </c>
      <c r="R25" s="9">
        <v>0</v>
      </c>
      <c r="S25" s="9">
        <v>8</v>
      </c>
      <c r="T25" s="9">
        <v>15</v>
      </c>
      <c r="U25" s="9">
        <v>73</v>
      </c>
      <c r="V25" s="9">
        <v>0</v>
      </c>
      <c r="W25" s="10">
        <v>3305</v>
      </c>
      <c r="X25" s="10">
        <v>10675</v>
      </c>
      <c r="Y25" s="10">
        <v>11832</v>
      </c>
      <c r="Z25" s="2">
        <v>469937</v>
      </c>
    </row>
    <row r="26" spans="1:26" x14ac:dyDescent="0.2">
      <c r="A26" s="4" t="s">
        <v>23</v>
      </c>
      <c r="B26" s="6">
        <v>0</v>
      </c>
      <c r="C26" s="6">
        <v>0</v>
      </c>
      <c r="D26" s="7">
        <v>958</v>
      </c>
      <c r="E26" s="6">
        <v>993</v>
      </c>
      <c r="F26" s="6">
        <v>0</v>
      </c>
      <c r="G26" s="6">
        <v>0</v>
      </c>
      <c r="H26" s="6">
        <v>392</v>
      </c>
      <c r="I26" s="6">
        <v>400</v>
      </c>
      <c r="J26" s="6">
        <v>0</v>
      </c>
      <c r="K26" s="7">
        <v>0</v>
      </c>
      <c r="L26" s="7">
        <v>173289</v>
      </c>
      <c r="M26" s="7">
        <v>1040997</v>
      </c>
      <c r="N26" s="9">
        <v>0</v>
      </c>
      <c r="O26" s="10">
        <v>972</v>
      </c>
      <c r="P26" s="10">
        <v>992</v>
      </c>
      <c r="Q26" s="10">
        <v>999</v>
      </c>
      <c r="R26" s="9">
        <v>0</v>
      </c>
      <c r="S26" s="9">
        <v>396</v>
      </c>
      <c r="T26" s="9">
        <v>400</v>
      </c>
      <c r="U26" s="9">
        <v>401</v>
      </c>
      <c r="V26" s="9">
        <v>0</v>
      </c>
      <c r="W26" s="10">
        <v>363020</v>
      </c>
      <c r="X26" s="10">
        <v>970920</v>
      </c>
      <c r="Y26" s="10">
        <v>1026242</v>
      </c>
      <c r="Z26" s="2">
        <v>19759431</v>
      </c>
    </row>
    <row r="27" spans="1:26" x14ac:dyDescent="0.2">
      <c r="A27" s="4" t="s">
        <v>24</v>
      </c>
      <c r="B27" s="6">
        <v>0</v>
      </c>
      <c r="C27" s="6">
        <v>2</v>
      </c>
      <c r="D27" s="7">
        <v>1255</v>
      </c>
      <c r="E27" s="6">
        <v>1283</v>
      </c>
      <c r="F27" s="6">
        <v>0</v>
      </c>
      <c r="G27" s="6">
        <v>1</v>
      </c>
      <c r="H27" s="6">
        <v>510</v>
      </c>
      <c r="I27" s="6">
        <v>518</v>
      </c>
      <c r="J27" s="6">
        <v>0</v>
      </c>
      <c r="K27" s="6">
        <v>6</v>
      </c>
      <c r="L27" s="7">
        <v>375999</v>
      </c>
      <c r="M27" s="7">
        <v>1382988</v>
      </c>
      <c r="N27" s="9">
        <v>0</v>
      </c>
      <c r="O27" s="10">
        <v>1268</v>
      </c>
      <c r="P27" s="10">
        <v>1283</v>
      </c>
      <c r="Q27" s="10">
        <v>1291</v>
      </c>
      <c r="R27" s="9">
        <v>0</v>
      </c>
      <c r="S27" s="10">
        <v>513</v>
      </c>
      <c r="T27" s="10">
        <v>519</v>
      </c>
      <c r="U27" s="9">
        <v>519</v>
      </c>
      <c r="V27" s="9">
        <v>0</v>
      </c>
      <c r="W27" s="10">
        <v>676426</v>
      </c>
      <c r="X27" s="10">
        <v>1291943</v>
      </c>
      <c r="Y27" s="10">
        <v>1356551</v>
      </c>
      <c r="Z27" s="2">
        <v>25801899</v>
      </c>
    </row>
    <row r="28" spans="1:26" x14ac:dyDescent="0.2">
      <c r="A28" s="4" t="s">
        <v>25</v>
      </c>
      <c r="B28" s="6">
        <v>0</v>
      </c>
      <c r="C28" s="6">
        <v>173</v>
      </c>
      <c r="D28" s="6">
        <v>619</v>
      </c>
      <c r="E28" s="6">
        <v>634</v>
      </c>
      <c r="F28" s="6">
        <v>0</v>
      </c>
      <c r="G28" s="6">
        <v>124</v>
      </c>
      <c r="H28" s="7">
        <v>256</v>
      </c>
      <c r="I28" s="6">
        <v>260</v>
      </c>
      <c r="J28" s="6">
        <v>0</v>
      </c>
      <c r="K28" s="7">
        <v>924</v>
      </c>
      <c r="L28" s="7">
        <v>408224</v>
      </c>
      <c r="M28" s="7">
        <v>683917</v>
      </c>
      <c r="N28" s="10">
        <v>432</v>
      </c>
      <c r="O28" s="10">
        <v>622</v>
      </c>
      <c r="P28" s="10">
        <v>634</v>
      </c>
      <c r="Q28" s="10">
        <v>643</v>
      </c>
      <c r="R28" s="10">
        <v>214</v>
      </c>
      <c r="S28" s="9">
        <v>256</v>
      </c>
      <c r="T28" s="9">
        <v>260</v>
      </c>
      <c r="U28" s="9">
        <v>261</v>
      </c>
      <c r="V28" s="10">
        <v>3372</v>
      </c>
      <c r="W28" s="10">
        <v>487401</v>
      </c>
      <c r="X28" s="10">
        <v>627884</v>
      </c>
      <c r="Y28" s="10">
        <v>650519</v>
      </c>
      <c r="Z28" s="2">
        <v>13031821</v>
      </c>
    </row>
    <row r="29" spans="1:26" x14ac:dyDescent="0.2">
      <c r="A29" s="4" t="s">
        <v>26</v>
      </c>
      <c r="B29" s="6">
        <v>0</v>
      </c>
      <c r="C29" s="6">
        <v>24</v>
      </c>
      <c r="D29" s="6">
        <v>117</v>
      </c>
      <c r="E29" s="6">
        <v>137</v>
      </c>
      <c r="F29" s="6">
        <v>0</v>
      </c>
      <c r="G29" s="6">
        <v>16</v>
      </c>
      <c r="H29" s="6">
        <v>55</v>
      </c>
      <c r="I29" s="6">
        <v>59</v>
      </c>
      <c r="J29" s="6">
        <v>0</v>
      </c>
      <c r="K29" s="7">
        <v>267</v>
      </c>
      <c r="L29" s="7">
        <v>20287</v>
      </c>
      <c r="M29" s="7">
        <v>40628</v>
      </c>
      <c r="N29" s="9">
        <v>48</v>
      </c>
      <c r="O29" s="9">
        <v>121</v>
      </c>
      <c r="P29" s="9">
        <v>135</v>
      </c>
      <c r="Q29" s="9">
        <v>139</v>
      </c>
      <c r="R29" s="9">
        <v>28</v>
      </c>
      <c r="S29" s="9">
        <v>55</v>
      </c>
      <c r="T29" s="9">
        <v>58</v>
      </c>
      <c r="U29" s="9">
        <v>60</v>
      </c>
      <c r="V29" s="10">
        <v>597</v>
      </c>
      <c r="W29" s="10">
        <v>22741</v>
      </c>
      <c r="X29" s="10">
        <v>37383</v>
      </c>
      <c r="Y29" s="10">
        <v>46104</v>
      </c>
      <c r="Z29" s="2">
        <v>2761686</v>
      </c>
    </row>
    <row r="30" spans="1:26" x14ac:dyDescent="0.2">
      <c r="B30" s="1">
        <f t="shared" ref="B30:Z30" si="0">SUM(B4:B29)</f>
        <v>2</v>
      </c>
      <c r="C30" s="1">
        <f t="shared" si="0"/>
        <v>1334</v>
      </c>
      <c r="D30" s="1">
        <f t="shared" si="0"/>
        <v>12465</v>
      </c>
      <c r="E30" s="1">
        <f t="shared" si="0"/>
        <v>13094</v>
      </c>
      <c r="F30" s="1">
        <f t="shared" si="0"/>
        <v>2</v>
      </c>
      <c r="G30" s="1">
        <f t="shared" si="0"/>
        <v>880</v>
      </c>
      <c r="H30" s="1">
        <f t="shared" si="0"/>
        <v>5150</v>
      </c>
      <c r="I30" s="1">
        <f t="shared" si="0"/>
        <v>5340</v>
      </c>
      <c r="J30" s="1">
        <f t="shared" si="0"/>
        <v>3</v>
      </c>
      <c r="K30" s="1">
        <f t="shared" si="0"/>
        <v>9324</v>
      </c>
      <c r="L30" s="1">
        <f t="shared" si="0"/>
        <v>5171843</v>
      </c>
      <c r="M30" s="1">
        <f t="shared" si="0"/>
        <v>13327839</v>
      </c>
      <c r="N30" s="1">
        <f t="shared" si="0"/>
        <v>3123</v>
      </c>
      <c r="O30" s="11">
        <f t="shared" si="0"/>
        <v>12639</v>
      </c>
      <c r="P30" s="1">
        <f t="shared" si="0"/>
        <v>13085</v>
      </c>
      <c r="Q30" s="1">
        <f t="shared" si="0"/>
        <v>13231</v>
      </c>
      <c r="R30" s="1">
        <f t="shared" si="0"/>
        <v>1483</v>
      </c>
      <c r="S30" s="1">
        <f t="shared" si="0"/>
        <v>5197</v>
      </c>
      <c r="T30" s="1">
        <f t="shared" si="0"/>
        <v>5328</v>
      </c>
      <c r="U30" s="1">
        <f t="shared" si="0"/>
        <v>5431</v>
      </c>
      <c r="V30" s="1">
        <f t="shared" si="0"/>
        <v>29171</v>
      </c>
      <c r="W30" s="1">
        <f t="shared" si="0"/>
        <v>7384621</v>
      </c>
      <c r="X30" s="1">
        <f t="shared" si="0"/>
        <v>12380531</v>
      </c>
      <c r="Y30" s="1">
        <f t="shared" si="0"/>
        <v>12970820</v>
      </c>
      <c r="Z30" s="1">
        <f t="shared" si="0"/>
        <v>260522269</v>
      </c>
    </row>
  </sheetData>
  <mergeCells count="10">
    <mergeCell ref="V2:Y2"/>
    <mergeCell ref="Z1:Z3"/>
    <mergeCell ref="J2:M2"/>
    <mergeCell ref="A1:A3"/>
    <mergeCell ref="B1:M1"/>
    <mergeCell ref="N1:Y1"/>
    <mergeCell ref="B2:E2"/>
    <mergeCell ref="F2:I2"/>
    <mergeCell ref="N2:Q2"/>
    <mergeCell ref="R2:U2"/>
  </mergeCells>
  <pageMargins left="0.7" right="0.7" top="0.75" bottom="0.75" header="0.3" footer="0.3"/>
  <ignoredErrors>
    <ignoredError sqref="B30:M30 N30:Y3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- filters</vt:lpstr>
      <vt:lpstr>Thinning - Admixture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Tocora Alonso</dc:creator>
  <cp:lastModifiedBy>Maria Tocora Alonso</cp:lastModifiedBy>
  <dcterms:created xsi:type="dcterms:W3CDTF">2024-11-13T00:55:59Z</dcterms:created>
  <dcterms:modified xsi:type="dcterms:W3CDTF">2025-09-19T05:10:04Z</dcterms:modified>
</cp:coreProperties>
</file>